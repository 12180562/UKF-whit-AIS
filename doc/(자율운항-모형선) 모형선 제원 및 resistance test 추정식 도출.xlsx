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내 드라이브\02. Main Back-up\02. 연구실 컴퓨터\02. 연구과제\02. 2020 자율운항선박기술개발사업\03. 2차년도\05. 통합 시뮬레이션\"/>
    </mc:Choice>
  </mc:AlternateContent>
  <xr:revisionPtr revIDLastSave="0" documentId="13_ncr:1_{54DEC587-7799-4F7F-8957-8F4F99674126}" xr6:coauthVersionLast="47" xr6:coauthVersionMax="47" xr10:uidLastSave="{00000000-0000-0000-0000-000000000000}"/>
  <bookViews>
    <workbookView xWindow="28680" yWindow="-120" windowWidth="29040" windowHeight="15840" xr2:uid="{4C8DDFFF-6D37-4E21-ABA1-471A1C757E55}"/>
  </bookViews>
  <sheets>
    <sheet name="1.  모형선 제원" sheetId="1" r:id="rId1"/>
    <sheet name="2.  Resistance test 추정식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" i="2" l="1"/>
  <c r="A9" i="2"/>
  <c r="E8" i="2"/>
  <c r="A8" i="2"/>
  <c r="E7" i="2"/>
  <c r="A7" i="2"/>
  <c r="E6" i="2"/>
  <c r="A6" i="2"/>
  <c r="E5" i="2"/>
  <c r="A5" i="2"/>
  <c r="E4" i="2"/>
  <c r="A4" i="2"/>
  <c r="F26" i="1"/>
  <c r="G26" i="1"/>
  <c r="G9" i="1"/>
  <c r="G5" i="1"/>
  <c r="F5" i="1"/>
  <c r="E5" i="1"/>
  <c r="G7" i="1"/>
  <c r="G23" i="1" s="1"/>
  <c r="F7" i="1"/>
  <c r="G2" i="1"/>
  <c r="J16" i="1" s="1"/>
  <c r="G16" i="1" s="1"/>
  <c r="G17" i="1"/>
  <c r="G28" i="1" l="1"/>
  <c r="J15" i="1"/>
  <c r="G15" i="1" s="1"/>
  <c r="G13" i="1"/>
  <c r="G21" i="1"/>
  <c r="G20" i="1"/>
  <c r="G24" i="1"/>
  <c r="G10" i="1"/>
  <c r="G27" i="1"/>
  <c r="G19" i="1"/>
</calcChain>
</file>

<file path=xl/sharedStrings.xml><?xml version="1.0" encoding="utf-8"?>
<sst xmlns="http://schemas.openxmlformats.org/spreadsheetml/2006/main" count="75" uniqueCount="53">
  <si>
    <t>시험선 추가 정보</t>
    <phoneticPr fontId="1" type="noConversion"/>
  </si>
  <si>
    <t>제원</t>
  </si>
  <si>
    <t>단위</t>
  </si>
  <si>
    <t>실선</t>
  </si>
  <si>
    <t>모형선</t>
  </si>
  <si>
    <t>Hull</t>
  </si>
  <si>
    <t>Scale</t>
  </si>
  <si>
    <t>-</t>
  </si>
  <si>
    <t>LBP</t>
  </si>
  <si>
    <t>m</t>
  </si>
  <si>
    <t>Breadth</t>
  </si>
  <si>
    <t>Draft</t>
  </si>
  <si>
    <t>Trim</t>
  </si>
  <si>
    <t>CB</t>
  </si>
  <si>
    <t>LCB</t>
  </si>
  <si>
    <t>kzz</t>
  </si>
  <si>
    <t>Mass, M</t>
  </si>
  <si>
    <t>kg</t>
  </si>
  <si>
    <t>Inertia, Izz</t>
  </si>
  <si>
    <t>kg m²</t>
  </si>
  <si>
    <t>Wetted surface area</t>
  </si>
  <si>
    <t>m²</t>
  </si>
  <si>
    <t>Propeller (Twin, 4 blades)</t>
  </si>
  <si>
    <t>Diameter</t>
  </si>
  <si>
    <t>xP</t>
  </si>
  <si>
    <t>yP</t>
  </si>
  <si>
    <t>Rudder (Twin, Semi-spade)</t>
  </si>
  <si>
    <t>Area</t>
  </si>
  <si>
    <t>Span</t>
  </si>
  <si>
    <t>Rudder rate</t>
  </si>
  <si>
    <t>°/sec</t>
  </si>
  <si>
    <t>xR</t>
  </si>
  <si>
    <t>yR</t>
  </si>
  <si>
    <t>-</t>
    <phoneticPr fontId="1" type="noConversion"/>
  </si>
  <si>
    <t>rho</t>
    <phoneticPr fontId="1" type="noConversion"/>
  </si>
  <si>
    <t>m'</t>
    <phoneticPr fontId="1" type="noConversion"/>
  </si>
  <si>
    <t>izz'</t>
    <phoneticPr fontId="1" type="noConversion"/>
  </si>
  <si>
    <t>Speed</t>
    <phoneticPr fontId="1" type="noConversion"/>
  </si>
  <si>
    <t>target speed</t>
    <phoneticPr fontId="1" type="noConversion"/>
  </si>
  <si>
    <t>6 knots</t>
    <phoneticPr fontId="1" type="noConversion"/>
  </si>
  <si>
    <t>Scale</t>
    <phoneticPr fontId="1" type="noConversion"/>
  </si>
  <si>
    <t>모형선 반류계수</t>
    <phoneticPr fontId="1" type="noConversion"/>
  </si>
  <si>
    <t>실선속도</t>
    <phoneticPr fontId="1" type="noConversion"/>
  </si>
  <si>
    <t>모형선속도</t>
    <phoneticPr fontId="1" type="noConversion"/>
  </si>
  <si>
    <t>w</t>
    <phoneticPr fontId="1" type="noConversion"/>
  </si>
  <si>
    <t>Fn 상사</t>
    <phoneticPr fontId="1" type="noConversion"/>
  </si>
  <si>
    <t>모형선 추력감소계수</t>
    <phoneticPr fontId="1" type="noConversion"/>
  </si>
  <si>
    <t>모형선속도</t>
  </si>
  <si>
    <t>t</t>
    <phoneticPr fontId="1" type="noConversion"/>
  </si>
  <si>
    <t>모형선 자항점</t>
    <phoneticPr fontId="1" type="noConversion"/>
  </si>
  <si>
    <t>n</t>
    <phoneticPr fontId="1" type="noConversion"/>
  </si>
  <si>
    <t>모형선 저항</t>
    <phoneticPr fontId="1" type="noConversion"/>
  </si>
  <si>
    <t>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</si>
</sst>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"/>
    <numFmt numFmtId="177" formatCode="0.000"/>
    <numFmt numFmtId="178" formatCode="0.0"/>
  </numFmts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8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center" vertical="center" wrapText="1"/>
    </xf>
    <xf numFmtId="0" fontId="3" fillId="0" borderId="1" xfId="0" quotePrefix="1" applyFont="1" applyBorder="1" applyAlignment="1">
      <alignment horizontal="center" vertical="center" wrapText="1"/>
    </xf>
    <xf numFmtId="177" fontId="5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177" fontId="0" fillId="0" borderId="0" xfId="0" applyNumberFormat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177" fontId="6" fillId="3" borderId="6" xfId="0" applyNumberFormat="1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77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77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'2.  Resistance test 추정식'!$B$2</c:f>
              <c:strCache>
                <c:ptCount val="1"/>
                <c:pt idx="0">
                  <c:v>모형선 반류계수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0886054608215124"/>
                  <c:y val="-4.065469598634823E-2"/>
                </c:manualLayout>
              </c:layout>
              <c:numFmt formatCode="#,##0.0000000000_);[Red]\(#,##0.0000000000\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</c:trendlineLbl>
          </c:trendline>
          <c:xVal>
            <c:numRef>
              <c:f>'2.  Resistance test 추정식'!$C$4:$C$9</c:f>
              <c:numCache>
                <c:formatCode>0.000</c:formatCode>
                <c:ptCount val="6"/>
                <c:pt idx="0">
                  <c:v>0.79200000000000004</c:v>
                </c:pt>
                <c:pt idx="1">
                  <c:v>1.583</c:v>
                </c:pt>
                <c:pt idx="2">
                  <c:v>1.847</c:v>
                </c:pt>
                <c:pt idx="3">
                  <c:v>2.1110000000000002</c:v>
                </c:pt>
                <c:pt idx="4">
                  <c:v>2.375</c:v>
                </c:pt>
                <c:pt idx="5">
                  <c:v>2.6389999999999998</c:v>
                </c:pt>
              </c:numCache>
            </c:numRef>
          </c:xVal>
          <c:yVal>
            <c:numRef>
              <c:f>'2.  Resistance test 추정식'!$D$4:$D$9</c:f>
              <c:numCache>
                <c:formatCode>General</c:formatCode>
                <c:ptCount val="6"/>
                <c:pt idx="0">
                  <c:v>7.2999999999999995E-2</c:v>
                </c:pt>
                <c:pt idx="1">
                  <c:v>9.2999999999999999E-2</c:v>
                </c:pt>
                <c:pt idx="2">
                  <c:v>9.8000000000000004E-2</c:v>
                </c:pt>
                <c:pt idx="3">
                  <c:v>0.104</c:v>
                </c:pt>
                <c:pt idx="4">
                  <c:v>0.109</c:v>
                </c:pt>
                <c:pt idx="5">
                  <c:v>0.113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953-46EF-A362-A46CEC3B3C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0544751"/>
        <c:axId val="1595069023"/>
      </c:scatterChart>
      <c:valAx>
        <c:axId val="1600544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95069023"/>
        <c:crosses val="autoZero"/>
        <c:crossBetween val="midCat"/>
      </c:valAx>
      <c:valAx>
        <c:axId val="1595069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005447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'2.  Resistance test 추정식'!$B$11</c:f>
              <c:strCache>
                <c:ptCount val="1"/>
                <c:pt idx="0">
                  <c:v>모형선 추력감소계수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2519860017497813"/>
                  <c:y val="-1.486111111111111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</c:trendlineLbl>
          </c:trendline>
          <c:xVal>
            <c:numRef>
              <c:f>'2.  Resistance test 추정식'!$C$13:$C$18</c:f>
              <c:numCache>
                <c:formatCode>0.000</c:formatCode>
                <c:ptCount val="6"/>
                <c:pt idx="0">
                  <c:v>0.79200000000000004</c:v>
                </c:pt>
                <c:pt idx="1">
                  <c:v>1.583</c:v>
                </c:pt>
                <c:pt idx="2">
                  <c:v>1.847</c:v>
                </c:pt>
                <c:pt idx="3">
                  <c:v>2.1110000000000002</c:v>
                </c:pt>
                <c:pt idx="4">
                  <c:v>2.375</c:v>
                </c:pt>
                <c:pt idx="5">
                  <c:v>2.6389999999999998</c:v>
                </c:pt>
              </c:numCache>
            </c:numRef>
          </c:xVal>
          <c:yVal>
            <c:numRef>
              <c:f>'2.  Resistance test 추정식'!$D$13:$D$18</c:f>
              <c:numCache>
                <c:formatCode>General</c:formatCode>
                <c:ptCount val="6"/>
                <c:pt idx="0">
                  <c:v>0.114</c:v>
                </c:pt>
                <c:pt idx="1">
                  <c:v>0.13500000000000001</c:v>
                </c:pt>
                <c:pt idx="2">
                  <c:v>0.14199999999999999</c:v>
                </c:pt>
                <c:pt idx="3">
                  <c:v>0.14899999999999999</c:v>
                </c:pt>
                <c:pt idx="4">
                  <c:v>0.156</c:v>
                </c:pt>
                <c:pt idx="5">
                  <c:v>0.16300000000000001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B36-4BD7-B076-76DF033C0E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2786575"/>
        <c:axId val="1595041151"/>
      </c:scatterChart>
      <c:valAx>
        <c:axId val="1662786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95041151"/>
        <c:crosses val="autoZero"/>
        <c:crossBetween val="midCat"/>
      </c:valAx>
      <c:valAx>
        <c:axId val="1595041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62786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'2.  Resistance test 추정식'!$B$20</c:f>
              <c:strCache>
                <c:ptCount val="1"/>
                <c:pt idx="0">
                  <c:v>모형선 자항점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forward val="1"/>
            <c:backward val="1"/>
            <c:dispRSqr val="1"/>
            <c:dispEq val="1"/>
            <c:trendlineLbl>
              <c:layout>
                <c:manualLayout>
                  <c:x val="-0.13720908212678429"/>
                  <c:y val="-6.2033545101287349E-2"/>
                </c:manualLayout>
              </c:layout>
              <c:numFmt formatCode="#,##0.0000000000_);[Red]\(#,##0.0000000000\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</c:trendlineLbl>
          </c:trendline>
          <c:xVal>
            <c:numRef>
              <c:f>'2.  Resistance test 추정식'!$C$22:$C$27</c:f>
              <c:numCache>
                <c:formatCode>0.000</c:formatCode>
                <c:ptCount val="6"/>
                <c:pt idx="0">
                  <c:v>0.79200000000000004</c:v>
                </c:pt>
                <c:pt idx="1">
                  <c:v>1.583</c:v>
                </c:pt>
                <c:pt idx="2">
                  <c:v>1.847</c:v>
                </c:pt>
                <c:pt idx="3">
                  <c:v>2.1110000000000002</c:v>
                </c:pt>
                <c:pt idx="4">
                  <c:v>2.375</c:v>
                </c:pt>
                <c:pt idx="5">
                  <c:v>2.6389999999999998</c:v>
                </c:pt>
              </c:numCache>
            </c:numRef>
          </c:xVal>
          <c:yVal>
            <c:numRef>
              <c:f>'2.  Resistance test 추정식'!$D$22:$D$27</c:f>
              <c:numCache>
                <c:formatCode>0.00</c:formatCode>
                <c:ptCount val="6"/>
                <c:pt idx="0">
                  <c:v>4.2</c:v>
                </c:pt>
                <c:pt idx="1">
                  <c:v>8.42</c:v>
                </c:pt>
                <c:pt idx="2">
                  <c:v>10.02</c:v>
                </c:pt>
                <c:pt idx="3">
                  <c:v>11.73</c:v>
                </c:pt>
                <c:pt idx="4">
                  <c:v>13.56</c:v>
                </c:pt>
                <c:pt idx="5">
                  <c:v>15.65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3FB-4D92-9DA8-FB6C7A9CC9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2856175"/>
        <c:axId val="1595078175"/>
      </c:scatterChart>
      <c:valAx>
        <c:axId val="1662856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95078175"/>
        <c:crosses val="autoZero"/>
        <c:crossBetween val="midCat"/>
      </c:valAx>
      <c:valAx>
        <c:axId val="159507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628561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'2.  Resistance test 추정식'!$B$29</c:f>
              <c:strCache>
                <c:ptCount val="1"/>
                <c:pt idx="0">
                  <c:v>모형선 저항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forward val="1"/>
            <c:backward val="1"/>
            <c:dispRSqr val="1"/>
            <c:dispEq val="1"/>
            <c:trendlineLbl>
              <c:layout>
                <c:manualLayout>
                  <c:x val="-0.36423204237332713"/>
                  <c:y val="-1.253026688071523E-2"/>
                </c:manualLayout>
              </c:layout>
              <c:numFmt formatCode="#,##0.0000000000_);[Red]\(#,##0.0000000000\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</c:trendlineLbl>
          </c:trendline>
          <c:xVal>
            <c:numRef>
              <c:f>'2.  Resistance test 추정식'!$C$31:$C$36</c:f>
              <c:numCache>
                <c:formatCode>0.000</c:formatCode>
                <c:ptCount val="6"/>
                <c:pt idx="0">
                  <c:v>0.79200000000000004</c:v>
                </c:pt>
                <c:pt idx="1">
                  <c:v>1.583</c:v>
                </c:pt>
                <c:pt idx="2">
                  <c:v>1.847</c:v>
                </c:pt>
                <c:pt idx="3">
                  <c:v>2.1110000000000002</c:v>
                </c:pt>
                <c:pt idx="4">
                  <c:v>2.375</c:v>
                </c:pt>
                <c:pt idx="5">
                  <c:v>2.6389999999999998</c:v>
                </c:pt>
              </c:numCache>
            </c:numRef>
          </c:xVal>
          <c:yVal>
            <c:numRef>
              <c:f>'2.  Resistance test 추정식'!$D$31:$D$36</c:f>
              <c:numCache>
                <c:formatCode>0.00</c:formatCode>
                <c:ptCount val="6"/>
                <c:pt idx="0">
                  <c:v>16.66</c:v>
                </c:pt>
                <c:pt idx="1">
                  <c:v>67.39</c:v>
                </c:pt>
                <c:pt idx="2">
                  <c:v>99.28</c:v>
                </c:pt>
                <c:pt idx="3">
                  <c:v>142.61000000000001</c:v>
                </c:pt>
                <c:pt idx="4">
                  <c:v>199.69</c:v>
                </c:pt>
                <c:pt idx="5">
                  <c:v>282.26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0A1-4939-AC8A-CE6A6E4C47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6195567"/>
        <c:axId val="1595025343"/>
      </c:scatterChart>
      <c:valAx>
        <c:axId val="1726195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95025343"/>
        <c:crosses val="autoZero"/>
        <c:crossBetween val="midCat"/>
      </c:valAx>
      <c:valAx>
        <c:axId val="159502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26195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504825</xdr:colOff>
      <xdr:row>24</xdr:row>
      <xdr:rowOff>28575</xdr:rowOff>
    </xdr:from>
    <xdr:to>
      <xdr:col>2</xdr:col>
      <xdr:colOff>647700</xdr:colOff>
      <xdr:row>24</xdr:row>
      <xdr:rowOff>209550</xdr:rowOff>
    </xdr:to>
    <xdr:pic>
      <xdr:nvPicPr>
        <xdr:cNvPr id="2" name="_x357158536">
          <a:extLst>
            <a:ext uri="{FF2B5EF4-FFF2-40B4-BE49-F238E27FC236}">
              <a16:creationId xmlns:a16="http://schemas.microsoft.com/office/drawing/2014/main" id="{25D76639-12C8-41B7-AFED-DE414EC75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6425" y="5676900"/>
          <a:ext cx="142875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542925</xdr:colOff>
      <xdr:row>0</xdr:row>
      <xdr:rowOff>0</xdr:rowOff>
    </xdr:from>
    <xdr:to>
      <xdr:col>12</xdr:col>
      <xdr:colOff>314325</xdr:colOff>
      <xdr:row>12</xdr:row>
      <xdr:rowOff>180975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C87120C-892E-448D-AC64-91AD5A48F3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147637</xdr:colOff>
      <xdr:row>0</xdr:row>
      <xdr:rowOff>0</xdr:rowOff>
    </xdr:from>
    <xdr:to>
      <xdr:col>19</xdr:col>
      <xdr:colOff>604837</xdr:colOff>
      <xdr:row>12</xdr:row>
      <xdr:rowOff>152400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C3D72DCF-1CBF-4E42-9011-2F2CAFD672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547687</xdr:colOff>
      <xdr:row>15</xdr:row>
      <xdr:rowOff>47625</xdr:rowOff>
    </xdr:from>
    <xdr:to>
      <xdr:col>12</xdr:col>
      <xdr:colOff>319087</xdr:colOff>
      <xdr:row>28</xdr:row>
      <xdr:rowOff>38100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E41A1CFE-D969-42AB-B07F-A3B2102469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195262</xdr:colOff>
      <xdr:row>14</xdr:row>
      <xdr:rowOff>152400</xdr:rowOff>
    </xdr:from>
    <xdr:to>
      <xdr:col>19</xdr:col>
      <xdr:colOff>652462</xdr:colOff>
      <xdr:row>27</xdr:row>
      <xdr:rowOff>133350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F7777D34-B38F-4AC1-975C-C779536A42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%20&#46300;&#46972;&#51060;&#48652;/02.%20Main%20Back-up/02.%20&#50672;&#44396;&#49892;%20&#52980;&#54504;&#53552;/02.%20&#50672;&#44396;&#44284;&#51228;/02.%202020%20&#51088;&#50984;&#50868;&#54637;&#49440;&#48149;&#44592;&#49696;&#44060;&#48156;&#49324;&#50629;/02.%201&#52264;&#45380;&#46020;/7.%20KASS_MMG_2Rudder/&#51200;&#54637;&#49884;&#54744;%20&#45236;&#4934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er1_실선속도 근사"/>
      <sheetName val="ver2_모형선 근사"/>
    </sheetNames>
    <sheetDataSet>
      <sheetData sheetId="0" refreshError="1"/>
      <sheetData sheetId="1">
        <row r="2">
          <cell r="B2" t="str">
            <v>모형선 반류계수</v>
          </cell>
        </row>
        <row r="4">
          <cell r="C4">
            <v>0.79200000000000004</v>
          </cell>
          <cell r="D4">
            <v>7.2999999999999995E-2</v>
          </cell>
        </row>
        <row r="5">
          <cell r="C5">
            <v>1.583</v>
          </cell>
          <cell r="D5">
            <v>9.2999999999999999E-2</v>
          </cell>
        </row>
        <row r="6">
          <cell r="C6">
            <v>1.847</v>
          </cell>
          <cell r="D6">
            <v>9.8000000000000004E-2</v>
          </cell>
        </row>
        <row r="7">
          <cell r="C7">
            <v>2.1110000000000002</v>
          </cell>
          <cell r="D7">
            <v>0.104</v>
          </cell>
        </row>
        <row r="8">
          <cell r="C8">
            <v>2.375</v>
          </cell>
          <cell r="D8">
            <v>0.109</v>
          </cell>
        </row>
        <row r="9">
          <cell r="C9">
            <v>2.6389999999999998</v>
          </cell>
          <cell r="D9">
            <v>0.113</v>
          </cell>
        </row>
        <row r="11">
          <cell r="B11" t="str">
            <v>모형선 추력감소계수</v>
          </cell>
        </row>
        <row r="13">
          <cell r="C13">
            <v>0.79200000000000004</v>
          </cell>
          <cell r="D13">
            <v>0.114</v>
          </cell>
        </row>
        <row r="14">
          <cell r="C14">
            <v>1.583</v>
          </cell>
          <cell r="D14">
            <v>0.13500000000000001</v>
          </cell>
        </row>
        <row r="15">
          <cell r="C15">
            <v>1.847</v>
          </cell>
          <cell r="D15">
            <v>0.14199999999999999</v>
          </cell>
        </row>
        <row r="16">
          <cell r="C16">
            <v>2.1110000000000002</v>
          </cell>
          <cell r="D16">
            <v>0.14899999999999999</v>
          </cell>
        </row>
        <row r="17">
          <cell r="C17">
            <v>2.375</v>
          </cell>
          <cell r="D17">
            <v>0.156</v>
          </cell>
        </row>
        <row r="18">
          <cell r="C18">
            <v>2.6389999999999998</v>
          </cell>
          <cell r="D18">
            <v>0.16300000000000001</v>
          </cell>
        </row>
        <row r="20">
          <cell r="B20" t="str">
            <v>모형선 자항점</v>
          </cell>
        </row>
        <row r="22">
          <cell r="C22">
            <v>0.79200000000000004</v>
          </cell>
          <cell r="D22">
            <v>4.2</v>
          </cell>
        </row>
        <row r="23">
          <cell r="C23">
            <v>1.583</v>
          </cell>
          <cell r="D23">
            <v>8.42</v>
          </cell>
        </row>
        <row r="24">
          <cell r="C24">
            <v>1.847</v>
          </cell>
          <cell r="D24">
            <v>10.02</v>
          </cell>
        </row>
        <row r="25">
          <cell r="C25">
            <v>2.1110000000000002</v>
          </cell>
          <cell r="D25">
            <v>11.73</v>
          </cell>
        </row>
        <row r="26">
          <cell r="C26">
            <v>2.375</v>
          </cell>
          <cell r="D26">
            <v>13.56</v>
          </cell>
        </row>
        <row r="27">
          <cell r="C27">
            <v>2.6389999999999998</v>
          </cell>
          <cell r="D27">
            <v>15.65</v>
          </cell>
        </row>
        <row r="29">
          <cell r="B29" t="str">
            <v>모형선 저항</v>
          </cell>
        </row>
        <row r="31">
          <cell r="C31">
            <v>0.79200000000000004</v>
          </cell>
          <cell r="D31">
            <v>16.66</v>
          </cell>
        </row>
        <row r="32">
          <cell r="C32">
            <v>1.583</v>
          </cell>
          <cell r="D32">
            <v>67.39</v>
          </cell>
        </row>
        <row r="33">
          <cell r="C33">
            <v>1.847</v>
          </cell>
          <cell r="D33">
            <v>99.28</v>
          </cell>
        </row>
        <row r="34">
          <cell r="C34">
            <v>2.1110000000000002</v>
          </cell>
          <cell r="D34">
            <v>142.61000000000001</v>
          </cell>
        </row>
        <row r="35">
          <cell r="C35">
            <v>2.375</v>
          </cell>
          <cell r="D35">
            <v>199.69</v>
          </cell>
        </row>
        <row r="36">
          <cell r="C36">
            <v>2.6389999999999998</v>
          </cell>
          <cell r="D36">
            <v>282.26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CD4A4-E01F-47FC-9CB9-0FCC02F0DADD}">
  <dimension ref="C2:J28"/>
  <sheetViews>
    <sheetView tabSelected="1" workbookViewId="0">
      <selection activeCell="I11" sqref="I11"/>
    </sheetView>
  </sheetViews>
  <sheetFormatPr defaultRowHeight="16.5" x14ac:dyDescent="0.3"/>
  <cols>
    <col min="3" max="4" width="15.625" customWidth="1"/>
    <col min="5" max="7" width="15.625" style="3" customWidth="1"/>
  </cols>
  <sheetData>
    <row r="2" spans="3:10" ht="20.25" x14ac:dyDescent="0.3">
      <c r="C2" s="1" t="s">
        <v>0</v>
      </c>
      <c r="D2" s="1"/>
      <c r="E2" s="2"/>
      <c r="F2" s="2" t="s">
        <v>34</v>
      </c>
      <c r="G2" s="2">
        <f>998.2</f>
        <v>998.2</v>
      </c>
    </row>
    <row r="3" spans="3:10" ht="20.25" x14ac:dyDescent="0.3">
      <c r="C3" s="4" t="s">
        <v>1</v>
      </c>
      <c r="D3" s="4" t="s">
        <v>2</v>
      </c>
      <c r="E3" s="4" t="s">
        <v>3</v>
      </c>
      <c r="F3" s="4" t="s">
        <v>4</v>
      </c>
      <c r="G3" s="4" t="s">
        <v>4</v>
      </c>
    </row>
    <row r="4" spans="3:10" ht="16.5" customHeight="1" x14ac:dyDescent="0.3">
      <c r="C4" s="14" t="s">
        <v>37</v>
      </c>
      <c r="D4" s="14"/>
      <c r="E4" s="14"/>
      <c r="F4" s="14"/>
      <c r="G4" s="14"/>
    </row>
    <row r="5" spans="3:10" ht="20.25" x14ac:dyDescent="0.3">
      <c r="C5" s="5" t="s">
        <v>38</v>
      </c>
      <c r="D5" s="5" t="s">
        <v>39</v>
      </c>
      <c r="E5" s="5">
        <f>6*0.51444</f>
        <v>3.0866400000000001</v>
      </c>
      <c r="F5" s="10">
        <f>E5/SQRT(F7)</f>
        <v>1.5832989005060139</v>
      </c>
      <c r="G5" s="12">
        <f>E5/SQRT(G7)</f>
        <v>0.93065697662750835</v>
      </c>
    </row>
    <row r="6" spans="3:10" ht="16.5" customHeight="1" x14ac:dyDescent="0.3">
      <c r="C6" s="14" t="s">
        <v>5</v>
      </c>
      <c r="D6" s="14"/>
      <c r="E6" s="14"/>
      <c r="F6" s="14"/>
      <c r="G6" s="14"/>
    </row>
    <row r="7" spans="3:10" ht="20.25" x14ac:dyDescent="0.3">
      <c r="C7" s="7" t="s">
        <v>6</v>
      </c>
      <c r="D7" s="7" t="s">
        <v>7</v>
      </c>
      <c r="E7" s="7">
        <v>1</v>
      </c>
      <c r="F7" s="6">
        <f>E10/F10</f>
        <v>3.800547278808148</v>
      </c>
      <c r="G7" s="6">
        <f>E8/G8</f>
        <v>11</v>
      </c>
    </row>
    <row r="8" spans="3:10" ht="20.25" x14ac:dyDescent="0.3">
      <c r="C8" s="5" t="s">
        <v>8</v>
      </c>
      <c r="D8" s="5" t="s">
        <v>9</v>
      </c>
      <c r="E8" s="5">
        <v>22</v>
      </c>
      <c r="F8" s="5">
        <v>5.7895000000000003</v>
      </c>
      <c r="G8" s="5">
        <v>2</v>
      </c>
    </row>
    <row r="9" spans="3:10" ht="20.25" x14ac:dyDescent="0.3">
      <c r="C9" s="5" t="s">
        <v>10</v>
      </c>
      <c r="D9" s="5" t="s">
        <v>9</v>
      </c>
      <c r="E9" s="5">
        <v>6</v>
      </c>
      <c r="F9" s="5">
        <v>1.5789</v>
      </c>
      <c r="G9" s="9">
        <f>E9/$G$7</f>
        <v>0.54545454545454541</v>
      </c>
    </row>
    <row r="10" spans="3:10" ht="20.25" x14ac:dyDescent="0.3">
      <c r="C10" s="5" t="s">
        <v>11</v>
      </c>
      <c r="D10" s="5" t="s">
        <v>9</v>
      </c>
      <c r="E10" s="5">
        <v>1.25</v>
      </c>
      <c r="F10" s="5">
        <v>0.32890000000000003</v>
      </c>
      <c r="G10" s="9">
        <f>E10/$G$7</f>
        <v>0.11363636363636363</v>
      </c>
    </row>
    <row r="11" spans="3:10" ht="20.25" x14ac:dyDescent="0.3">
      <c r="C11" s="5" t="s">
        <v>12</v>
      </c>
      <c r="D11" s="5" t="s">
        <v>9</v>
      </c>
      <c r="E11" s="5">
        <v>0</v>
      </c>
      <c r="F11" s="5">
        <v>0</v>
      </c>
      <c r="G11" s="5">
        <v>0</v>
      </c>
    </row>
    <row r="12" spans="3:10" ht="20.25" x14ac:dyDescent="0.3">
      <c r="C12" s="5" t="s">
        <v>13</v>
      </c>
      <c r="D12" s="5" t="s">
        <v>7</v>
      </c>
      <c r="E12" s="13">
        <v>0.51929999999999998</v>
      </c>
      <c r="F12" s="13"/>
      <c r="G12" s="5"/>
    </row>
    <row r="13" spans="3:10" ht="20.25" x14ac:dyDescent="0.3">
      <c r="C13" s="5" t="s">
        <v>14</v>
      </c>
      <c r="D13" s="5" t="s">
        <v>9</v>
      </c>
      <c r="E13" s="5">
        <v>0.28910000000000002</v>
      </c>
      <c r="F13" s="5">
        <v>7.6100000000000001E-2</v>
      </c>
      <c r="G13" s="9">
        <f>E13/$G$7</f>
        <v>2.6281818181818184E-2</v>
      </c>
    </row>
    <row r="14" spans="3:10" ht="20.25" x14ac:dyDescent="0.3">
      <c r="C14" s="5" t="s">
        <v>15</v>
      </c>
      <c r="D14" s="5" t="s">
        <v>9</v>
      </c>
      <c r="E14" s="5" t="s">
        <v>7</v>
      </c>
      <c r="F14" s="5">
        <v>1.9113</v>
      </c>
      <c r="G14" s="11" t="s">
        <v>33</v>
      </c>
    </row>
    <row r="15" spans="3:10" ht="20.25" x14ac:dyDescent="0.3">
      <c r="C15" s="5" t="s">
        <v>16</v>
      </c>
      <c r="D15" s="5" t="s">
        <v>17</v>
      </c>
      <c r="E15" s="5" t="s">
        <v>7</v>
      </c>
      <c r="F15" s="5">
        <v>1581</v>
      </c>
      <c r="G15" s="10">
        <f>J15*0.5*G2*G8^3</f>
        <v>65.177647648623591</v>
      </c>
      <c r="I15" t="s">
        <v>35</v>
      </c>
      <c r="J15">
        <f>F15/(0.5*G2*F8^3)</f>
        <v>1.6323794742692743E-2</v>
      </c>
    </row>
    <row r="16" spans="3:10" ht="20.25" x14ac:dyDescent="0.3">
      <c r="C16" s="5" t="s">
        <v>18</v>
      </c>
      <c r="D16" s="5" t="s">
        <v>19</v>
      </c>
      <c r="E16" s="5" t="s">
        <v>7</v>
      </c>
      <c r="F16" s="5">
        <v>5775.4</v>
      </c>
      <c r="G16" s="10">
        <f>J16*0.5*G2*G8^5</f>
        <v>28.413632270082232</v>
      </c>
      <c r="I16" t="s">
        <v>36</v>
      </c>
      <c r="J16">
        <f>F16/(0.5*G2*F8^5)</f>
        <v>1.779054314646503E-3</v>
      </c>
    </row>
    <row r="17" spans="3:7" ht="40.5" x14ac:dyDescent="0.3">
      <c r="C17" s="5" t="s">
        <v>20</v>
      </c>
      <c r="D17" s="5" t="s">
        <v>21</v>
      </c>
      <c r="E17" s="5">
        <v>147.69999999999999</v>
      </c>
      <c r="F17" s="5">
        <v>10.228999999999999</v>
      </c>
      <c r="G17" s="10">
        <f>E17/G7^2</f>
        <v>1.2206611570247934</v>
      </c>
    </row>
    <row r="18" spans="3:7" ht="16.5" customHeight="1" x14ac:dyDescent="0.3">
      <c r="C18" s="14" t="s">
        <v>22</v>
      </c>
      <c r="D18" s="14"/>
      <c r="E18" s="14"/>
      <c r="F18" s="14"/>
      <c r="G18" s="14"/>
    </row>
    <row r="19" spans="3:7" ht="20.25" x14ac:dyDescent="0.3">
      <c r="C19" s="5" t="s">
        <v>23</v>
      </c>
      <c r="D19" s="5" t="s">
        <v>9</v>
      </c>
      <c r="E19" s="5">
        <v>0.95</v>
      </c>
      <c r="F19" s="5">
        <v>0.25</v>
      </c>
      <c r="G19" s="9">
        <f>E19/$G$7</f>
        <v>8.6363636363636365E-2</v>
      </c>
    </row>
    <row r="20" spans="3:7" ht="20.25" x14ac:dyDescent="0.3">
      <c r="C20" s="5" t="s">
        <v>24</v>
      </c>
      <c r="D20" s="5" t="s">
        <v>9</v>
      </c>
      <c r="E20" s="5">
        <v>-10.1</v>
      </c>
      <c r="F20" s="5">
        <v>-2.6579000000000002</v>
      </c>
      <c r="G20" s="9">
        <f>E20/$G$7</f>
        <v>-0.9181818181818181</v>
      </c>
    </row>
    <row r="21" spans="3:7" ht="20.25" x14ac:dyDescent="0.3">
      <c r="C21" s="5" t="s">
        <v>25</v>
      </c>
      <c r="D21" s="5" t="s">
        <v>9</v>
      </c>
      <c r="E21" s="5">
        <v>1.2</v>
      </c>
      <c r="F21" s="5">
        <v>0.31580000000000003</v>
      </c>
      <c r="G21" s="9">
        <f>E21/$G$7</f>
        <v>0.10909090909090909</v>
      </c>
    </row>
    <row r="22" spans="3:7" ht="16.5" customHeight="1" x14ac:dyDescent="0.3">
      <c r="C22" s="14" t="s">
        <v>26</v>
      </c>
      <c r="D22" s="14"/>
      <c r="E22" s="14"/>
      <c r="F22" s="14"/>
      <c r="G22" s="14"/>
    </row>
    <row r="23" spans="3:7" ht="20.25" x14ac:dyDescent="0.3">
      <c r="C23" s="5" t="s">
        <v>27</v>
      </c>
      <c r="D23" s="5" t="s">
        <v>21</v>
      </c>
      <c r="E23" s="5">
        <v>0.51749999999999996</v>
      </c>
      <c r="F23" s="5">
        <v>3.5799999999999998E-2</v>
      </c>
      <c r="G23" s="9">
        <f>E23/G7^2</f>
        <v>4.2768595041322308E-3</v>
      </c>
    </row>
    <row r="24" spans="3:7" ht="20.25" x14ac:dyDescent="0.3">
      <c r="C24" s="5" t="s">
        <v>28</v>
      </c>
      <c r="D24" s="5" t="s">
        <v>9</v>
      </c>
      <c r="E24" s="5">
        <v>0.9</v>
      </c>
      <c r="F24" s="5">
        <v>0.23680000000000001</v>
      </c>
      <c r="G24" s="9">
        <f>E24/G7</f>
        <v>8.1818181818181818E-2</v>
      </c>
    </row>
    <row r="25" spans="3:7" ht="20.25" x14ac:dyDescent="0.3">
      <c r="C25" s="8"/>
      <c r="D25" s="5"/>
      <c r="E25" s="13">
        <v>2.5148999999999999</v>
      </c>
      <c r="F25" s="13"/>
      <c r="G25" s="13"/>
    </row>
    <row r="26" spans="3:7" ht="20.25" x14ac:dyDescent="0.3">
      <c r="C26" s="5" t="s">
        <v>29</v>
      </c>
      <c r="D26" s="5" t="s">
        <v>30</v>
      </c>
      <c r="E26" s="5">
        <v>3.5</v>
      </c>
      <c r="F26" s="9">
        <f>(E26*SQRT($F$7)) * PI() /180</f>
        <v>0.1190881316363524</v>
      </c>
      <c r="G26" s="9">
        <f>(E26*SQRT($G$7)) * PI() /180</f>
        <v>0.2026010792573894</v>
      </c>
    </row>
    <row r="27" spans="3:7" ht="20.25" x14ac:dyDescent="0.3">
      <c r="C27" s="5" t="s">
        <v>31</v>
      </c>
      <c r="D27" s="5" t="s">
        <v>9</v>
      </c>
      <c r="E27" s="5">
        <v>-11</v>
      </c>
      <c r="F27" s="5">
        <v>-2.8946999999999998</v>
      </c>
      <c r="G27" s="10">
        <f>E27/$G$7</f>
        <v>-1</v>
      </c>
    </row>
    <row r="28" spans="3:7" ht="20.25" x14ac:dyDescent="0.3">
      <c r="C28" s="5" t="s">
        <v>32</v>
      </c>
      <c r="D28" s="5" t="s">
        <v>9</v>
      </c>
      <c r="E28" s="5">
        <v>1.05</v>
      </c>
      <c r="F28" s="5">
        <v>0.27629999999999999</v>
      </c>
      <c r="G28" s="10">
        <f>E28/$G$7</f>
        <v>9.5454545454545459E-2</v>
      </c>
    </row>
  </sheetData>
  <mergeCells count="6">
    <mergeCell ref="E12:F12"/>
    <mergeCell ref="C4:G4"/>
    <mergeCell ref="C18:G18"/>
    <mergeCell ref="C22:G22"/>
    <mergeCell ref="E25:G25"/>
    <mergeCell ref="C6:G6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E6A1C-F116-402F-A3EB-972C6C767BAA}">
  <dimension ref="A1:E36"/>
  <sheetViews>
    <sheetView zoomScaleNormal="100" workbookViewId="0">
      <selection activeCell="G31" sqref="G31"/>
    </sheetView>
  </sheetViews>
  <sheetFormatPr defaultRowHeight="16.5" x14ac:dyDescent="0.3"/>
  <cols>
    <col min="2" max="2" width="9" style="3"/>
    <col min="3" max="3" width="11.25" style="15" bestFit="1" customWidth="1"/>
    <col min="4" max="4" width="9.625" style="3" customWidth="1"/>
    <col min="5" max="5" width="10" bestFit="1" customWidth="1"/>
  </cols>
  <sheetData>
    <row r="1" spans="1:5" ht="17.25" thickBot="1" x14ac:dyDescent="0.35">
      <c r="D1" s="3" t="s">
        <v>40</v>
      </c>
      <c r="E1">
        <v>3.8</v>
      </c>
    </row>
    <row r="2" spans="1:5" x14ac:dyDescent="0.3">
      <c r="B2" s="16" t="s">
        <v>41</v>
      </c>
      <c r="C2" s="17"/>
      <c r="D2" s="18"/>
    </row>
    <row r="3" spans="1:5" ht="17.25" thickBot="1" x14ac:dyDescent="0.35">
      <c r="B3" s="19" t="s">
        <v>42</v>
      </c>
      <c r="C3" s="20" t="s">
        <v>43</v>
      </c>
      <c r="D3" s="21" t="s">
        <v>44</v>
      </c>
      <c r="E3" s="3" t="s">
        <v>45</v>
      </c>
    </row>
    <row r="4" spans="1:5" x14ac:dyDescent="0.3">
      <c r="A4">
        <f>B4*0.5144</f>
        <v>1.5431999999999999</v>
      </c>
      <c r="B4" s="22">
        <v>3</v>
      </c>
      <c r="C4" s="23">
        <v>0.79200000000000004</v>
      </c>
      <c r="D4" s="24">
        <v>7.2999999999999995E-2</v>
      </c>
      <c r="E4" s="15">
        <f>B13*0.5144*SQRT(1/$E$1)</f>
        <v>0.79164489646890479</v>
      </c>
    </row>
    <row r="5" spans="1:5" x14ac:dyDescent="0.3">
      <c r="A5">
        <f t="shared" ref="A5:A9" si="0">B5*0.5144</f>
        <v>3.0863999999999998</v>
      </c>
      <c r="B5" s="25">
        <v>6</v>
      </c>
      <c r="C5" s="26">
        <v>1.583</v>
      </c>
      <c r="D5" s="27">
        <v>9.2999999999999999E-2</v>
      </c>
      <c r="E5" s="15">
        <f t="shared" ref="E5:E9" si="1">B14*0.5144*SQRT(1/$E$1)</f>
        <v>1.5832897929378096</v>
      </c>
    </row>
    <row r="6" spans="1:5" x14ac:dyDescent="0.3">
      <c r="A6">
        <f t="shared" si="0"/>
        <v>3.6007999999999996</v>
      </c>
      <c r="B6" s="25">
        <v>7</v>
      </c>
      <c r="C6" s="26">
        <v>1.847</v>
      </c>
      <c r="D6" s="27">
        <v>9.8000000000000004E-2</v>
      </c>
      <c r="E6" s="15">
        <f t="shared" si="1"/>
        <v>1.8471714250941109</v>
      </c>
    </row>
    <row r="7" spans="1:5" x14ac:dyDescent="0.3">
      <c r="A7">
        <f t="shared" si="0"/>
        <v>4.1151999999999997</v>
      </c>
      <c r="B7" s="25">
        <v>8</v>
      </c>
      <c r="C7" s="26">
        <v>2.1110000000000002</v>
      </c>
      <c r="D7" s="27">
        <v>0.104</v>
      </c>
      <c r="E7" s="15">
        <f t="shared" si="1"/>
        <v>2.1110530572504125</v>
      </c>
    </row>
    <row r="8" spans="1:5" x14ac:dyDescent="0.3">
      <c r="A8">
        <f t="shared" si="0"/>
        <v>4.6295999999999999</v>
      </c>
      <c r="B8" s="25">
        <v>9</v>
      </c>
      <c r="C8" s="26">
        <v>2.375</v>
      </c>
      <c r="D8" s="27">
        <v>0.109</v>
      </c>
      <c r="E8" s="15">
        <f t="shared" si="1"/>
        <v>2.3749346894067145</v>
      </c>
    </row>
    <row r="9" spans="1:5" ht="17.25" thickBot="1" x14ac:dyDescent="0.35">
      <c r="A9">
        <f t="shared" si="0"/>
        <v>5.1440000000000001</v>
      </c>
      <c r="B9" s="28">
        <v>10</v>
      </c>
      <c r="C9" s="29">
        <v>2.6389999999999998</v>
      </c>
      <c r="D9" s="30">
        <v>0.113</v>
      </c>
      <c r="E9" s="15">
        <f t="shared" si="1"/>
        <v>2.638816321563016</v>
      </c>
    </row>
    <row r="10" spans="1:5" ht="17.25" thickBot="1" x14ac:dyDescent="0.35"/>
    <row r="11" spans="1:5" x14ac:dyDescent="0.3">
      <c r="B11" s="16" t="s">
        <v>46</v>
      </c>
      <c r="C11" s="17"/>
      <c r="D11" s="18"/>
    </row>
    <row r="12" spans="1:5" ht="17.25" thickBot="1" x14ac:dyDescent="0.35">
      <c r="B12" s="19" t="s">
        <v>42</v>
      </c>
      <c r="C12" s="20" t="s">
        <v>47</v>
      </c>
      <c r="D12" s="21" t="s">
        <v>48</v>
      </c>
    </row>
    <row r="13" spans="1:5" x14ac:dyDescent="0.3">
      <c r="B13" s="22">
        <v>3</v>
      </c>
      <c r="C13" s="23">
        <v>0.79200000000000004</v>
      </c>
      <c r="D13" s="24">
        <v>0.114</v>
      </c>
    </row>
    <row r="14" spans="1:5" x14ac:dyDescent="0.3">
      <c r="B14" s="25">
        <v>6</v>
      </c>
      <c r="C14" s="26">
        <v>1.583</v>
      </c>
      <c r="D14" s="27">
        <v>0.13500000000000001</v>
      </c>
    </row>
    <row r="15" spans="1:5" x14ac:dyDescent="0.3">
      <c r="B15" s="25">
        <v>7</v>
      </c>
      <c r="C15" s="26">
        <v>1.847</v>
      </c>
      <c r="D15" s="27">
        <v>0.14199999999999999</v>
      </c>
    </row>
    <row r="16" spans="1:5" x14ac:dyDescent="0.3">
      <c r="B16" s="25">
        <v>8</v>
      </c>
      <c r="C16" s="26">
        <v>2.1110000000000002</v>
      </c>
      <c r="D16" s="27">
        <v>0.14899999999999999</v>
      </c>
    </row>
    <row r="17" spans="2:4" x14ac:dyDescent="0.3">
      <c r="B17" s="25">
        <v>9</v>
      </c>
      <c r="C17" s="26">
        <v>2.375</v>
      </c>
      <c r="D17" s="27">
        <v>0.156</v>
      </c>
    </row>
    <row r="18" spans="2:4" ht="17.25" thickBot="1" x14ac:dyDescent="0.35">
      <c r="B18" s="28">
        <v>10</v>
      </c>
      <c r="C18" s="29">
        <v>2.6389999999999998</v>
      </c>
      <c r="D18" s="30">
        <v>0.16300000000000001</v>
      </c>
    </row>
    <row r="19" spans="2:4" ht="17.25" thickBot="1" x14ac:dyDescent="0.35"/>
    <row r="20" spans="2:4" x14ac:dyDescent="0.3">
      <c r="B20" s="16" t="s">
        <v>49</v>
      </c>
      <c r="C20" s="17"/>
      <c r="D20" s="18"/>
    </row>
    <row r="21" spans="2:4" ht="17.25" thickBot="1" x14ac:dyDescent="0.35">
      <c r="B21" s="19" t="s">
        <v>42</v>
      </c>
      <c r="C21" s="20" t="s">
        <v>47</v>
      </c>
      <c r="D21" s="21" t="s">
        <v>50</v>
      </c>
    </row>
    <row r="22" spans="2:4" x14ac:dyDescent="0.3">
      <c r="B22" s="22">
        <v>3</v>
      </c>
      <c r="C22" s="23">
        <v>0.79200000000000004</v>
      </c>
      <c r="D22" s="31">
        <v>4.2</v>
      </c>
    </row>
    <row r="23" spans="2:4" x14ac:dyDescent="0.3">
      <c r="B23" s="25">
        <v>6</v>
      </c>
      <c r="C23" s="26">
        <v>1.583</v>
      </c>
      <c r="D23" s="32">
        <v>8.42</v>
      </c>
    </row>
    <row r="24" spans="2:4" x14ac:dyDescent="0.3">
      <c r="B24" s="25">
        <v>7</v>
      </c>
      <c r="C24" s="26">
        <v>1.847</v>
      </c>
      <c r="D24" s="32">
        <v>10.02</v>
      </c>
    </row>
    <row r="25" spans="2:4" x14ac:dyDescent="0.3">
      <c r="B25" s="25">
        <v>8</v>
      </c>
      <c r="C25" s="26">
        <v>2.1110000000000002</v>
      </c>
      <c r="D25" s="32">
        <v>11.73</v>
      </c>
    </row>
    <row r="26" spans="2:4" x14ac:dyDescent="0.3">
      <c r="B26" s="25">
        <v>9</v>
      </c>
      <c r="C26" s="26">
        <v>2.375</v>
      </c>
      <c r="D26" s="32">
        <v>13.56</v>
      </c>
    </row>
    <row r="27" spans="2:4" ht="17.25" thickBot="1" x14ac:dyDescent="0.35">
      <c r="B27" s="28">
        <v>10</v>
      </c>
      <c r="C27" s="29">
        <v>2.6389999999999998</v>
      </c>
      <c r="D27" s="33">
        <v>15.65</v>
      </c>
    </row>
    <row r="28" spans="2:4" ht="17.25" thickBot="1" x14ac:dyDescent="0.35"/>
    <row r="29" spans="2:4" x14ac:dyDescent="0.3">
      <c r="B29" s="16" t="s">
        <v>51</v>
      </c>
      <c r="C29" s="17"/>
      <c r="D29" s="18"/>
    </row>
    <row r="30" spans="2:4" ht="17.25" thickBot="1" x14ac:dyDescent="0.35">
      <c r="B30" s="19" t="s">
        <v>42</v>
      </c>
      <c r="C30" s="20" t="s">
        <v>47</v>
      </c>
      <c r="D30" s="21" t="s">
        <v>52</v>
      </c>
    </row>
    <row r="31" spans="2:4" x14ac:dyDescent="0.3">
      <c r="B31" s="22">
        <v>3</v>
      </c>
      <c r="C31" s="23">
        <v>0.79200000000000004</v>
      </c>
      <c r="D31" s="31">
        <v>16.66</v>
      </c>
    </row>
    <row r="32" spans="2:4" x14ac:dyDescent="0.3">
      <c r="B32" s="25">
        <v>6</v>
      </c>
      <c r="C32" s="26">
        <v>1.583</v>
      </c>
      <c r="D32" s="32">
        <v>67.39</v>
      </c>
    </row>
    <row r="33" spans="2:4" x14ac:dyDescent="0.3">
      <c r="B33" s="25">
        <v>7</v>
      </c>
      <c r="C33" s="26">
        <v>1.847</v>
      </c>
      <c r="D33" s="32">
        <v>99.28</v>
      </c>
    </row>
    <row r="34" spans="2:4" x14ac:dyDescent="0.3">
      <c r="B34" s="25">
        <v>8</v>
      </c>
      <c r="C34" s="26">
        <v>2.1110000000000002</v>
      </c>
      <c r="D34" s="32">
        <v>142.61000000000001</v>
      </c>
    </row>
    <row r="35" spans="2:4" x14ac:dyDescent="0.3">
      <c r="B35" s="25">
        <v>9</v>
      </c>
      <c r="C35" s="26">
        <v>2.375</v>
      </c>
      <c r="D35" s="32">
        <v>199.69</v>
      </c>
    </row>
    <row r="36" spans="2:4" ht="17.25" thickBot="1" x14ac:dyDescent="0.35">
      <c r="B36" s="28">
        <v>10</v>
      </c>
      <c r="C36" s="29">
        <v>2.6389999999999998</v>
      </c>
      <c r="D36" s="33">
        <v>282.26</v>
      </c>
    </row>
  </sheetData>
  <mergeCells count="4">
    <mergeCell ref="B2:D2"/>
    <mergeCell ref="B11:D11"/>
    <mergeCell ref="B20:D20"/>
    <mergeCell ref="B29:D29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1.  모형선 제원</vt:lpstr>
      <vt:lpstr>2.  Resistance test 추정식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KJS</dc:creator>
  <cp:lastModifiedBy>KJS</cp:lastModifiedBy>
  <dcterms:created xsi:type="dcterms:W3CDTF">2021-07-14T02:07:39Z</dcterms:created>
  <dcterms:modified xsi:type="dcterms:W3CDTF">2021-08-22T07:50:42Z</dcterms:modified>
</cp:coreProperties>
</file>